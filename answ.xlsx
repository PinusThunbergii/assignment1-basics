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heet1" sheetId="1" state="visible" r:id="rId3"/>
    <sheet name="Sheet1_2" sheetId="2" state="visible" r:id="rId4"/>
    <sheet name="Sheet1_2_2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<sst xmlns="http://schemas.openxmlformats.org/spreadsheetml/2006/main" count="72" uniqueCount="22">
  <si>
    <t xml:space="preserve">GPT-2 small</t>
  </si>
  <si>
    <t xml:space="preserve">GPT-2 medium</t>
  </si>
  <si>
    <t xml:space="preserve">GPT-2 large</t>
  </si>
  <si>
    <t xml:space="preserve">GPT-2 XL</t>
  </si>
  <si>
    <t xml:space="preserve">vocab_size</t>
  </si>
  <si>
    <t xml:space="preserve">context_length</t>
  </si>
  <si>
    <t xml:space="preserve">num_layers</t>
  </si>
  <si>
    <t xml:space="preserve">d_model</t>
  </si>
  <si>
    <t xml:space="preserve">num_heads</t>
  </si>
  <si>
    <t xml:space="preserve">d_ff</t>
  </si>
  <si>
    <t xml:space="preserve">total params</t>
  </si>
  <si>
    <t xml:space="preserve">attn.QKVO_proj</t>
  </si>
  <si>
    <t xml:space="preserve">attn.QK^T</t>
  </si>
  <si>
    <t xml:space="preserve">attn.(QK^T) * V</t>
  </si>
  <si>
    <t xml:space="preserve">attn.ffn</t>
  </si>
  <si>
    <t xml:space="preserve">total attn</t>
  </si>
  <si>
    <t xml:space="preserve">linear</t>
  </si>
  <si>
    <t xml:space="preserve">total flops</t>
  </si>
  <si>
    <t xml:space="preserve">* params</t>
  </si>
  <si>
    <t xml:space="preserve">output linear</t>
  </si>
  <si>
    <t xml:space="preserve">* flops</t>
  </si>
  <si>
    <r>
      <rPr>
        <sz val="10"/>
        <rFont val="Arial"/>
        <family val="2"/>
      </rPr>
      <t xml:space="preserve">output </t>
    </r>
    <r>
      <rPr>
        <sz val="10"/>
        <rFont val="Arial"/>
        <family val="2"/>
        <charset val="1"/>
      </rPr>
      <t xml:space="preserve">linear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</si>
</sst>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#,##0.00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Courier New"/>
      <family val="3"/>
      <charset val="1"/>
    </font>
    <font>
      <sz val="10"/>
      <name val="Times New Roman"/>
      <family val="1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B13" activeCellId="0" sqref="B1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3.86"/>
    <col collapsed="false" customWidth="true" hidden="false" outlineLevel="0" max="2" min="2" style="1" width="13.45"/>
    <col collapsed="false" customWidth="true" hidden="false" outlineLevel="0" max="3" min="3" style="1" width="15.17"/>
    <col collapsed="false" customWidth="true" hidden="false" outlineLevel="0" max="4" min="4" style="1" width="15.19"/>
    <col collapsed="false" customWidth="true" hidden="false" outlineLevel="0" max="5" min="5" style="1" width="17.79"/>
  </cols>
  <sheetData>
    <row r="1" customFormat="false" ht="13.25" hidden="false" customHeight="false" outlineLevel="0" collapsed="false">
      <c r="B1" s="2" t="s">
        <v>0</v>
      </c>
      <c r="C1" s="3" t="s">
        <v>1</v>
      </c>
      <c r="D1" s="3" t="s">
        <v>2</v>
      </c>
      <c r="E1" s="3" t="s">
        <v>3</v>
      </c>
    </row>
    <row r="2" customFormat="false" ht="12.8" hidden="false" customHeight="false" outlineLevel="0" collapsed="false">
      <c r="A2" s="4" t="s">
        <v>4</v>
      </c>
      <c r="B2" s="4" t="n">
        <v>50257</v>
      </c>
      <c r="C2" s="4" t="n">
        <v>50257</v>
      </c>
      <c r="D2" s="4" t="n">
        <v>50257</v>
      </c>
      <c r="E2" s="4" t="n">
        <v>50257</v>
      </c>
    </row>
    <row r="3" customFormat="false" ht="12.8" hidden="false" customHeight="false" outlineLevel="0" collapsed="false">
      <c r="A3" s="4" t="s">
        <v>5</v>
      </c>
      <c r="B3" s="4" t="n">
        <v>1024</v>
      </c>
      <c r="C3" s="4" t="n">
        <v>1024</v>
      </c>
      <c r="D3" s="4" t="n">
        <v>1024</v>
      </c>
      <c r="E3" s="4" t="n">
        <v>1024</v>
      </c>
    </row>
    <row r="4" customFormat="false" ht="12.8" hidden="false" customHeight="false" outlineLevel="0" collapsed="false">
      <c r="A4" s="4" t="s">
        <v>6</v>
      </c>
      <c r="B4" s="4" t="n">
        <v>12</v>
      </c>
      <c r="C4" s="4" t="n">
        <v>24</v>
      </c>
      <c r="D4" s="4" t="n">
        <v>36</v>
      </c>
      <c r="E4" s="4" t="n">
        <v>48</v>
      </c>
    </row>
    <row r="5" customFormat="false" ht="12.8" hidden="false" customHeight="false" outlineLevel="0" collapsed="false">
      <c r="A5" s="4" t="s">
        <v>7</v>
      </c>
      <c r="B5" s="4" t="n">
        <v>768</v>
      </c>
      <c r="C5" s="4" t="n">
        <v>1024</v>
      </c>
      <c r="D5" s="4" t="n">
        <v>1280</v>
      </c>
      <c r="E5" s="4" t="n">
        <v>1600</v>
      </c>
    </row>
    <row r="6" customFormat="false" ht="12.8" hidden="false" customHeight="false" outlineLevel="0" collapsed="false">
      <c r="A6" s="4" t="s">
        <v>8</v>
      </c>
      <c r="B6" s="4" t="n">
        <v>12</v>
      </c>
      <c r="C6" s="4" t="n">
        <v>16</v>
      </c>
      <c r="D6" s="4" t="n">
        <v>20</v>
      </c>
      <c r="E6" s="4" t="n">
        <v>25</v>
      </c>
    </row>
    <row r="7" customFormat="false" ht="12.8" hidden="false" customHeight="false" outlineLevel="0" collapsed="false">
      <c r="A7" s="4" t="s">
        <v>9</v>
      </c>
      <c r="B7" s="1" t="n">
        <v>3072</v>
      </c>
      <c r="C7" s="1" t="n">
        <v>4096</v>
      </c>
      <c r="D7" s="1" t="n">
        <v>5120</v>
      </c>
      <c r="E7" s="4" t="n">
        <v>6400</v>
      </c>
    </row>
    <row r="9" customFormat="false" ht="12.8" hidden="false" customHeight="false" outlineLevel="0" collapsed="false">
      <c r="A9" s="1" t="s">
        <v>10</v>
      </c>
      <c r="B9" s="4" t="n">
        <v>151863552</v>
      </c>
      <c r="C9" s="4" t="n">
        <v>454167552</v>
      </c>
      <c r="D9" s="4" t="n">
        <v>1008142080</v>
      </c>
      <c r="E9" s="4" t="n">
        <v>2046648000</v>
      </c>
    </row>
    <row r="10" customFormat="false" ht="12.8" hidden="false" customHeight="false" outlineLevel="0" collapsed="false">
      <c r="E10" s="4"/>
    </row>
    <row r="11" customFormat="false" ht="12.8" hidden="false" customHeight="false" outlineLevel="0" collapsed="false">
      <c r="A11" s="1" t="s">
        <v>11</v>
      </c>
      <c r="B11" s="4" t="n">
        <v>4831838208</v>
      </c>
      <c r="C11" s="4" t="n">
        <v>8589934592</v>
      </c>
      <c r="D11" s="4" t="n">
        <v>13421772800</v>
      </c>
      <c r="E11" s="4" t="n">
        <v>20971520000</v>
      </c>
    </row>
    <row r="12" customFormat="false" ht="12.8" hidden="false" customHeight="false" outlineLevel="0" collapsed="false">
      <c r="A12" s="1" t="s">
        <v>12</v>
      </c>
      <c r="B12" s="4" t="n">
        <v>1610612736</v>
      </c>
      <c r="C12" s="4" t="n">
        <v>2147483648</v>
      </c>
      <c r="D12" s="4" t="n">
        <v>2684354560</v>
      </c>
      <c r="E12" s="4" t="n">
        <v>3355443200</v>
      </c>
    </row>
    <row r="13" customFormat="false" ht="12.8" hidden="false" customHeight="false" outlineLevel="0" collapsed="false">
      <c r="A13" s="4" t="s">
        <v>13</v>
      </c>
      <c r="B13" s="4" t="n">
        <v>1610612736</v>
      </c>
      <c r="C13" s="4" t="n">
        <v>2147483648</v>
      </c>
      <c r="D13" s="4" t="n">
        <v>2684354560</v>
      </c>
      <c r="E13" s="4" t="n">
        <v>3355443200</v>
      </c>
    </row>
    <row r="14" customFormat="false" ht="12.8" hidden="false" customHeight="false" outlineLevel="0" collapsed="false">
      <c r="A14" s="1" t="s">
        <v>14</v>
      </c>
      <c r="B14" s="4" t="n">
        <v>14495514624</v>
      </c>
      <c r="C14" s="4" t="n">
        <v>25769803776</v>
      </c>
      <c r="D14" s="4" t="n">
        <v>40265318400</v>
      </c>
      <c r="E14" s="4" t="n">
        <v>62914560000</v>
      </c>
    </row>
    <row r="15" customFormat="false" ht="12.8" hidden="false" customHeight="false" outlineLevel="0" collapsed="false">
      <c r="A15" s="1" t="s">
        <v>15</v>
      </c>
      <c r="B15" s="1" t="n">
        <f aca="false">SUM(B11:B14) *B4</f>
        <v>270582939648</v>
      </c>
      <c r="C15" s="1" t="n">
        <f aca="false">SUM(C11:C14) *C4</f>
        <v>927712935936</v>
      </c>
      <c r="D15" s="1" t="n">
        <f aca="false">SUM(D11:D14) *D4</f>
        <v>2126008811520</v>
      </c>
      <c r="E15" s="1" t="n">
        <f aca="false">SUM(E11:E14) *E4</f>
        <v>4348654387200</v>
      </c>
    </row>
    <row r="16" customFormat="false" ht="12.8" hidden="false" customHeight="false" outlineLevel="0" collapsed="false">
      <c r="A16" s="1" t="s">
        <v>16</v>
      </c>
      <c r="B16" s="4" t="n">
        <v>79047426048</v>
      </c>
      <c r="C16" s="4" t="n">
        <v>105396568064</v>
      </c>
      <c r="D16" s="4" t="n">
        <v>131745710080</v>
      </c>
      <c r="E16" s="4" t="n">
        <v>164682137600</v>
      </c>
    </row>
    <row r="17" customFormat="false" ht="12.8" hidden="false" customHeight="false" outlineLevel="0" collapsed="false">
      <c r="A17" s="1" t="s">
        <v>17</v>
      </c>
      <c r="B17" s="1" t="n">
        <f aca="false">SUM(B15:B16)</f>
        <v>349630365696</v>
      </c>
      <c r="C17" s="1" t="n">
        <f aca="false">SUM(C15:C16)</f>
        <v>1033109504000</v>
      </c>
      <c r="D17" s="1" t="n">
        <f aca="false">SUM(D15:D16)</f>
        <v>2257754521600</v>
      </c>
      <c r="E17" s="1" t="n">
        <f aca="false">SUM(E15:E16)</f>
        <v>4513336524800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E16" activeCellId="0" sqref="E16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3.86"/>
    <col collapsed="false" customWidth="true" hidden="false" outlineLevel="0" max="2" min="2" style="1" width="18.68"/>
    <col collapsed="false" customWidth="true" hidden="false" outlineLevel="0" max="3" min="3" style="1" width="19.69"/>
    <col collapsed="false" customWidth="true" hidden="false" outlineLevel="0" max="4" min="4" style="1" width="19.48"/>
    <col collapsed="false" customWidth="true" hidden="false" outlineLevel="0" max="5" min="5" style="1" width="17.79"/>
  </cols>
  <sheetData>
    <row r="1" customFormat="false" ht="13.25" hidden="false" customHeight="false" outlineLevel="0" collapsed="false">
      <c r="B1" s="2" t="s">
        <v>0</v>
      </c>
      <c r="C1" s="3" t="s">
        <v>1</v>
      </c>
      <c r="D1" s="3" t="s">
        <v>2</v>
      </c>
      <c r="E1" s="3" t="s">
        <v>3</v>
      </c>
    </row>
    <row r="2" customFormat="false" ht="12.8" hidden="false" customHeight="false" outlineLevel="0" collapsed="false">
      <c r="A2" s="4" t="s">
        <v>4</v>
      </c>
      <c r="B2" s="5" t="n">
        <v>50257</v>
      </c>
      <c r="C2" s="5" t="n">
        <v>50257</v>
      </c>
      <c r="D2" s="5" t="n">
        <v>50257</v>
      </c>
      <c r="E2" s="5" t="n">
        <v>50257</v>
      </c>
    </row>
    <row r="3" customFormat="false" ht="12.8" hidden="false" customHeight="false" outlineLevel="0" collapsed="false">
      <c r="A3" s="4" t="s">
        <v>5</v>
      </c>
      <c r="B3" s="5" t="n">
        <v>1024</v>
      </c>
      <c r="C3" s="5" t="n">
        <v>1024</v>
      </c>
      <c r="D3" s="5" t="n">
        <v>1024</v>
      </c>
      <c r="E3" s="5" t="n">
        <v>1024</v>
      </c>
    </row>
    <row r="4" customFormat="false" ht="12.8" hidden="false" customHeight="false" outlineLevel="0" collapsed="false">
      <c r="A4" s="4" t="s">
        <v>6</v>
      </c>
      <c r="B4" s="5" t="n">
        <v>12</v>
      </c>
      <c r="C4" s="5" t="n">
        <v>24</v>
      </c>
      <c r="D4" s="5" t="n">
        <v>36</v>
      </c>
      <c r="E4" s="5" t="n">
        <v>48</v>
      </c>
    </row>
    <row r="5" customFormat="false" ht="12.8" hidden="false" customHeight="false" outlineLevel="0" collapsed="false">
      <c r="A5" s="4" t="s">
        <v>7</v>
      </c>
      <c r="B5" s="5" t="n">
        <v>768</v>
      </c>
      <c r="C5" s="5" t="n">
        <v>1024</v>
      </c>
      <c r="D5" s="5" t="n">
        <v>1280</v>
      </c>
      <c r="E5" s="5" t="n">
        <v>1600</v>
      </c>
    </row>
    <row r="6" customFormat="false" ht="12.8" hidden="false" customHeight="false" outlineLevel="0" collapsed="false">
      <c r="A6" s="4" t="s">
        <v>8</v>
      </c>
      <c r="B6" s="5" t="n">
        <v>12</v>
      </c>
      <c r="C6" s="5" t="n">
        <v>16</v>
      </c>
      <c r="D6" s="5" t="n">
        <v>20</v>
      </c>
      <c r="E6" s="5" t="n">
        <v>25</v>
      </c>
    </row>
    <row r="7" customFormat="false" ht="12.8" hidden="false" customHeight="false" outlineLevel="0" collapsed="false">
      <c r="A7" s="4" t="s">
        <v>9</v>
      </c>
      <c r="B7" s="6" t="n">
        <v>3072</v>
      </c>
      <c r="C7" s="6" t="n">
        <v>4096</v>
      </c>
      <c r="D7" s="6" t="n">
        <v>5120</v>
      </c>
      <c r="E7" s="5" t="n">
        <v>6400</v>
      </c>
    </row>
    <row r="8" customFormat="false" ht="12.8" hidden="false" customHeight="false" outlineLevel="0" collapsed="false">
      <c r="B8" s="6"/>
      <c r="C8" s="6"/>
      <c r="D8" s="6"/>
      <c r="E8" s="6"/>
    </row>
    <row r="9" customFormat="false" ht="12.8" hidden="false" customHeight="false" outlineLevel="0" collapsed="false">
      <c r="A9" s="1" t="s">
        <v>10</v>
      </c>
      <c r="B9" s="5" t="n">
        <v>151863552</v>
      </c>
      <c r="C9" s="5" t="n">
        <v>454167552</v>
      </c>
      <c r="D9" s="5" t="n">
        <v>1008142080</v>
      </c>
      <c r="E9" s="5" t="n">
        <v>2046648000</v>
      </c>
    </row>
    <row r="10" customFormat="false" ht="12.8" hidden="false" customHeight="false" outlineLevel="0" collapsed="false">
      <c r="A10" s="1" t="s">
        <v>18</v>
      </c>
      <c r="B10" s="6"/>
      <c r="C10" s="6" t="n">
        <f aca="false">C9/B9</f>
        <v>2.99062906154072</v>
      </c>
      <c r="D10" s="6" t="n">
        <f aca="false">D9/C9</f>
        <v>2.21975805087898</v>
      </c>
      <c r="E10" s="6" t="n">
        <f aca="false">E9/D9</f>
        <v>2.03011861185281</v>
      </c>
    </row>
    <row r="11" customFormat="false" ht="12.8" hidden="false" customHeight="false" outlineLevel="0" collapsed="false">
      <c r="B11" s="6"/>
      <c r="C11" s="6"/>
      <c r="D11" s="6"/>
      <c r="E11" s="6"/>
    </row>
    <row r="12" customFormat="false" ht="12.8" hidden="false" customHeight="false" outlineLevel="0" collapsed="false">
      <c r="A12" s="1" t="s">
        <v>11</v>
      </c>
      <c r="B12" s="5" t="n">
        <v>4831838208</v>
      </c>
      <c r="C12" s="5" t="n">
        <v>8589934592</v>
      </c>
      <c r="D12" s="5" t="n">
        <v>13421772800</v>
      </c>
      <c r="E12" s="5" t="n">
        <v>20971520000</v>
      </c>
    </row>
    <row r="13" customFormat="false" ht="12.8" hidden="false" customHeight="false" outlineLevel="0" collapsed="false">
      <c r="A13" s="1" t="s">
        <v>12</v>
      </c>
      <c r="B13" s="5" t="n">
        <v>1610612736</v>
      </c>
      <c r="C13" s="5" t="n">
        <v>2147483648</v>
      </c>
      <c r="D13" s="5" t="n">
        <v>2684354560</v>
      </c>
      <c r="E13" s="5" t="n">
        <v>3355443200</v>
      </c>
    </row>
    <row r="14" customFormat="false" ht="12.8" hidden="false" customHeight="false" outlineLevel="0" collapsed="false">
      <c r="A14" s="4" t="s">
        <v>13</v>
      </c>
      <c r="B14" s="5" t="n">
        <v>1610612736</v>
      </c>
      <c r="C14" s="5" t="n">
        <v>2147483648</v>
      </c>
      <c r="D14" s="5" t="n">
        <v>2684354560</v>
      </c>
      <c r="E14" s="5" t="n">
        <v>3355443200</v>
      </c>
    </row>
    <row r="15" customFormat="false" ht="12.8" hidden="false" customHeight="false" outlineLevel="0" collapsed="false">
      <c r="A15" s="1" t="s">
        <v>14</v>
      </c>
      <c r="B15" s="5" t="n">
        <v>14495514624</v>
      </c>
      <c r="C15" s="5" t="n">
        <v>25769803776</v>
      </c>
      <c r="D15" s="5" t="n">
        <v>40265318400</v>
      </c>
      <c r="E15" s="5" t="n">
        <v>62914560000</v>
      </c>
    </row>
    <row r="16" customFormat="false" ht="12.8" hidden="false" customHeight="false" outlineLevel="0" collapsed="false">
      <c r="A16" s="1" t="s">
        <v>15</v>
      </c>
      <c r="B16" s="6" t="n">
        <f aca="false">SUM(B12:B15) *B4</f>
        <v>270582939648</v>
      </c>
      <c r="C16" s="6" t="n">
        <f aca="false">SUM(C12:C15) *C4</f>
        <v>927712935936</v>
      </c>
      <c r="D16" s="6" t="n">
        <f aca="false">SUM(D12:D15) *D4</f>
        <v>2126008811520</v>
      </c>
      <c r="E16" s="6" t="n">
        <f aca="false">SUM(E12:E15) *E4</f>
        <v>4348654387200</v>
      </c>
    </row>
    <row r="17" customFormat="false" ht="12.8" hidden="false" customHeight="false" outlineLevel="0" collapsed="false">
      <c r="A17" s="1" t="s">
        <v>19</v>
      </c>
      <c r="B17" s="5" t="n">
        <v>79047426048</v>
      </c>
      <c r="C17" s="5" t="n">
        <v>105396568064</v>
      </c>
      <c r="D17" s="5" t="n">
        <v>131745710080</v>
      </c>
      <c r="E17" s="5" t="n">
        <v>164682137600</v>
      </c>
    </row>
    <row r="18" customFormat="false" ht="12.8" hidden="false" customHeight="false" outlineLevel="0" collapsed="false">
      <c r="A18" s="1" t="s">
        <v>17</v>
      </c>
      <c r="B18" s="6" t="n">
        <f aca="false">SUM(B16:B17)</f>
        <v>349630365696</v>
      </c>
      <c r="C18" s="6" t="n">
        <f aca="false">SUM(C16:C17)</f>
        <v>1033109504000</v>
      </c>
      <c r="D18" s="6" t="n">
        <f aca="false">SUM(D16:D17)</f>
        <v>2257754521600</v>
      </c>
      <c r="E18" s="6" t="n">
        <f aca="false">SUM(E16:E17)</f>
        <v>4513336524800</v>
      </c>
    </row>
    <row r="19" customFormat="false" ht="12.8" hidden="false" customHeight="false" outlineLevel="0" collapsed="false">
      <c r="C19" s="1" t="n">
        <f aca="false">C18/B18</f>
        <v>2.95486206394978</v>
      </c>
      <c r="D19" s="1" t="n">
        <f aca="false">D18/C18</f>
        <v>2.18539710733316</v>
      </c>
      <c r="E19" s="1" t="n">
        <f aca="false">E18/D18</f>
        <v>1.99903775260808</v>
      </c>
    </row>
    <row r="20" customFormat="false" ht="12.8" hidden="false" customHeight="true" outlineLevel="0" collapsed="false">
      <c r="A20" s="1" t="s">
        <v>20</v>
      </c>
    </row>
    <row r="21" customFormat="false" ht="12.8" hidden="false" customHeight="true" outlineLevel="0" collapsed="false">
      <c r="A21" s="1" t="s">
        <v>11</v>
      </c>
      <c r="C21" s="1" t="n">
        <f aca="false">C12/B12</f>
        <v>1.77777777777778</v>
      </c>
      <c r="D21" s="1" t="n">
        <f aca="false">D12/C12</f>
        <v>1.5625</v>
      </c>
      <c r="E21" s="1" t="n">
        <f aca="false">E12/D12</f>
        <v>1.5625</v>
      </c>
    </row>
    <row r="22" customFormat="false" ht="12.8" hidden="false" customHeight="true" outlineLevel="0" collapsed="false">
      <c r="A22" s="1" t="s">
        <v>12</v>
      </c>
      <c r="C22" s="1" t="n">
        <f aca="false">C13/B13</f>
        <v>1.33333333333333</v>
      </c>
      <c r="D22" s="1" t="n">
        <f aca="false">D13/C13</f>
        <v>1.25</v>
      </c>
      <c r="E22" s="1" t="n">
        <f aca="false">E13/D13</f>
        <v>1.25</v>
      </c>
    </row>
    <row r="23" customFormat="false" ht="12.8" hidden="false" customHeight="true" outlineLevel="0" collapsed="false">
      <c r="A23" s="4" t="s">
        <v>13</v>
      </c>
      <c r="C23" s="1" t="n">
        <f aca="false">C14/B14</f>
        <v>1.33333333333333</v>
      </c>
      <c r="D23" s="1" t="n">
        <f aca="false">D14/C14</f>
        <v>1.25</v>
      </c>
      <c r="E23" s="1" t="n">
        <f aca="false">E14/D14</f>
        <v>1.25</v>
      </c>
    </row>
    <row r="24" customFormat="false" ht="12.8" hidden="false" customHeight="true" outlineLevel="0" collapsed="false">
      <c r="A24" s="1" t="s">
        <v>14</v>
      </c>
      <c r="C24" s="1" t="n">
        <f aca="false">C15/B15</f>
        <v>1.77777777777778</v>
      </c>
      <c r="D24" s="1" t="n">
        <f aca="false">D15/C15</f>
        <v>1.5625</v>
      </c>
      <c r="E24" s="1" t="n">
        <f aca="false">E15/D15</f>
        <v>1.5625</v>
      </c>
    </row>
    <row r="25" customFormat="false" ht="12.8" hidden="false" customHeight="true" outlineLevel="0" collapsed="false">
      <c r="A25" s="1" t="s">
        <v>15</v>
      </c>
      <c r="C25" s="1" t="n">
        <f aca="false">C16/B16</f>
        <v>3.42857142857143</v>
      </c>
      <c r="D25" s="1" t="n">
        <f aca="false">D16/C16</f>
        <v>2.29166666666667</v>
      </c>
      <c r="E25" s="1" t="n">
        <f aca="false">E16/D16</f>
        <v>2.04545454545455</v>
      </c>
    </row>
    <row r="26" customFormat="false" ht="12.8" hidden="false" customHeight="true" outlineLevel="0" collapsed="false">
      <c r="A26" s="7" t="s">
        <v>21</v>
      </c>
      <c r="C26" s="1" t="n">
        <f aca="false">C17/B17</f>
        <v>1.33333333333333</v>
      </c>
      <c r="D26" s="1" t="n">
        <f aca="false">D17/C17</f>
        <v>1.25</v>
      </c>
      <c r="E26" s="1" t="n">
        <f aca="false">E17/D17</f>
        <v>1.25</v>
      </c>
    </row>
    <row r="27" customFormat="false" ht="12.8" hidden="false" customHeight="true" outlineLevel="0" collapsed="false">
      <c r="A27" s="1" t="s">
        <v>17</v>
      </c>
      <c r="C27" s="1" t="n">
        <f aca="false">C18/B18</f>
        <v>2.95486206394978</v>
      </c>
      <c r="D27" s="1" t="n">
        <f aca="false">D18/C18</f>
        <v>2.18539710733316</v>
      </c>
      <c r="E27" s="1" t="n">
        <f aca="false">E18/D18</f>
        <v>1.99903775260808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D10" activeCellId="0" sqref="D10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3.86"/>
    <col collapsed="false" customWidth="true" hidden="false" outlineLevel="0" max="2" min="2" style="1" width="18.68"/>
    <col collapsed="false" customWidth="true" hidden="false" outlineLevel="0" max="3" min="3" style="1" width="6.1"/>
    <col collapsed="false" customWidth="true" hidden="false" outlineLevel="0" max="4" min="4" style="1" width="19.69"/>
    <col collapsed="false" customWidth="true" hidden="false" outlineLevel="0" max="5" min="5" style="1" width="6.55"/>
    <col collapsed="false" customWidth="true" hidden="false" outlineLevel="0" max="6" min="6" style="1" width="19.48"/>
    <col collapsed="false" customWidth="true" hidden="false" outlineLevel="0" max="7" min="7" style="1" width="7.09"/>
    <col collapsed="false" customWidth="true" hidden="false" outlineLevel="0" max="8" min="8" style="1" width="17.79"/>
    <col collapsed="false" customWidth="true" hidden="false" outlineLevel="0" max="9" min="9" style="0" width="6.92"/>
  </cols>
  <sheetData>
    <row r="1" customFormat="false" ht="13.25" hidden="false" customHeight="false" outlineLevel="0" collapsed="false">
      <c r="B1" s="2" t="s">
        <v>0</v>
      </c>
      <c r="C1" s="2"/>
      <c r="D1" s="3" t="s">
        <v>1</v>
      </c>
      <c r="E1" s="3"/>
      <c r="F1" s="3" t="s">
        <v>2</v>
      </c>
      <c r="G1" s="3"/>
      <c r="H1" s="3" t="s">
        <v>3</v>
      </c>
    </row>
    <row r="2" customFormat="false" ht="12.8" hidden="false" customHeight="false" outlineLevel="0" collapsed="false">
      <c r="A2" s="4" t="s">
        <v>4</v>
      </c>
      <c r="B2" s="5" t="n">
        <v>50257</v>
      </c>
      <c r="C2" s="5"/>
      <c r="D2" s="5" t="n">
        <v>50257</v>
      </c>
      <c r="E2" s="5"/>
      <c r="F2" s="5" t="n">
        <v>50257</v>
      </c>
      <c r="G2" s="5"/>
      <c r="H2" s="5" t="n">
        <v>50257</v>
      </c>
    </row>
    <row r="3" customFormat="false" ht="12.8" hidden="false" customHeight="false" outlineLevel="0" collapsed="false">
      <c r="A3" s="4" t="s">
        <v>5</v>
      </c>
      <c r="B3" s="5" t="n">
        <v>1024</v>
      </c>
      <c r="C3" s="5"/>
      <c r="D3" s="5" t="n">
        <v>1024</v>
      </c>
      <c r="E3" s="5"/>
      <c r="F3" s="5" t="n">
        <v>1024</v>
      </c>
      <c r="G3" s="5"/>
      <c r="H3" s="5" t="n">
        <v>1024</v>
      </c>
    </row>
    <row r="4" customFormat="false" ht="12.8" hidden="false" customHeight="false" outlineLevel="0" collapsed="false">
      <c r="A4" s="4" t="s">
        <v>6</v>
      </c>
      <c r="B4" s="5" t="n">
        <v>12</v>
      </c>
      <c r="C4" s="5"/>
      <c r="D4" s="5" t="n">
        <v>24</v>
      </c>
      <c r="E4" s="5"/>
      <c r="F4" s="5" t="n">
        <v>36</v>
      </c>
      <c r="G4" s="5"/>
      <c r="H4" s="5" t="n">
        <v>48</v>
      </c>
    </row>
    <row r="5" customFormat="false" ht="12.8" hidden="false" customHeight="false" outlineLevel="0" collapsed="false">
      <c r="A5" s="4" t="s">
        <v>7</v>
      </c>
      <c r="B5" s="5" t="n">
        <v>768</v>
      </c>
      <c r="C5" s="5"/>
      <c r="D5" s="5" t="n">
        <v>1024</v>
      </c>
      <c r="E5" s="5"/>
      <c r="F5" s="5" t="n">
        <v>1280</v>
      </c>
      <c r="G5" s="5"/>
      <c r="H5" s="5" t="n">
        <v>1600</v>
      </c>
    </row>
    <row r="6" customFormat="false" ht="12.8" hidden="false" customHeight="false" outlineLevel="0" collapsed="false">
      <c r="A6" s="4" t="s">
        <v>8</v>
      </c>
      <c r="B6" s="5" t="n">
        <v>12</v>
      </c>
      <c r="C6" s="5"/>
      <c r="D6" s="5" t="n">
        <v>16</v>
      </c>
      <c r="E6" s="5"/>
      <c r="F6" s="5" t="n">
        <v>20</v>
      </c>
      <c r="G6" s="5"/>
      <c r="H6" s="5" t="n">
        <v>25</v>
      </c>
    </row>
    <row r="7" customFormat="false" ht="12.8" hidden="false" customHeight="false" outlineLevel="0" collapsed="false">
      <c r="A7" s="4" t="s">
        <v>9</v>
      </c>
      <c r="B7" s="6" t="n">
        <v>3072</v>
      </c>
      <c r="C7" s="6"/>
      <c r="D7" s="6" t="n">
        <v>4096</v>
      </c>
      <c r="E7" s="6"/>
      <c r="F7" s="6" t="n">
        <v>5120</v>
      </c>
      <c r="G7" s="6"/>
      <c r="H7" s="5" t="n">
        <v>6400</v>
      </c>
    </row>
    <row r="8" customFormat="false" ht="12.8" hidden="false" customHeight="false" outlineLevel="0" collapsed="false">
      <c r="B8" s="6"/>
      <c r="C8" s="6"/>
      <c r="D8" s="6"/>
      <c r="E8" s="6"/>
      <c r="F8" s="6"/>
      <c r="G8" s="6"/>
      <c r="H8" s="6"/>
    </row>
    <row r="9" customFormat="false" ht="12.8" hidden="false" customHeight="false" outlineLevel="0" collapsed="false">
      <c r="A9" s="1" t="s">
        <v>10</v>
      </c>
      <c r="B9" s="5" t="n">
        <v>151863552</v>
      </c>
      <c r="C9" s="5"/>
      <c r="D9" s="5" t="n">
        <v>454167552</v>
      </c>
      <c r="E9" s="5"/>
      <c r="F9" s="5" t="n">
        <v>1008142080</v>
      </c>
      <c r="G9" s="5"/>
      <c r="H9" s="5" t="n">
        <v>2046648000</v>
      </c>
    </row>
    <row r="10" customFormat="false" ht="12.8" hidden="false" customHeight="false" outlineLevel="0" collapsed="false">
      <c r="A10" s="1" t="s">
        <v>18</v>
      </c>
      <c r="B10" s="6"/>
      <c r="C10" s="6"/>
      <c r="D10" s="6" t="n">
        <f aca="false">D9/B9</f>
        <v>2.99062906154072</v>
      </c>
      <c r="E10" s="6"/>
      <c r="F10" s="6" t="n">
        <f aca="false">F9/D9</f>
        <v>2.21975805087898</v>
      </c>
      <c r="G10" s="6"/>
      <c r="H10" s="6" t="n">
        <f aca="false">H9/F9</f>
        <v>2.03011861185281</v>
      </c>
    </row>
    <row r="11" customFormat="false" ht="12.8" hidden="false" customHeight="false" outlineLevel="0" collapsed="false">
      <c r="B11" s="6"/>
      <c r="C11" s="6"/>
      <c r="D11" s="6"/>
      <c r="E11" s="6"/>
      <c r="F11" s="6"/>
      <c r="G11" s="6"/>
      <c r="H11" s="6"/>
    </row>
    <row r="12" customFormat="false" ht="12.8" hidden="false" customHeight="false" outlineLevel="0" collapsed="false">
      <c r="A12" s="1" t="s">
        <v>11</v>
      </c>
      <c r="B12" s="5" t="n">
        <f aca="false">4831838208*B4</f>
        <v>57982058496</v>
      </c>
      <c r="C12" s="8" t="n">
        <f aca="false">B12/$B$18</f>
        <v>0.165838165631228</v>
      </c>
      <c r="D12" s="5" t="n">
        <f aca="false">8589934592*D4</f>
        <v>206158430208</v>
      </c>
      <c r="E12" s="8" t="n">
        <f aca="false">D12/$D$18</f>
        <v>0.199551382897742</v>
      </c>
      <c r="F12" s="5" t="n">
        <f aca="false">13421772800*F4</f>
        <v>483183820800</v>
      </c>
      <c r="G12" s="8" t="n">
        <f aca="false">F12/$F$18</f>
        <v>0.214010786459452</v>
      </c>
      <c r="H12" s="5" t="n">
        <f aca="false">20971520000*H4</f>
        <v>1006632960000</v>
      </c>
      <c r="I12" s="9" t="n">
        <f aca="false">H12/$H$18</f>
        <v>0.223035210086535</v>
      </c>
    </row>
    <row r="13" customFormat="false" ht="12.8" hidden="false" customHeight="false" outlineLevel="0" collapsed="false">
      <c r="A13" s="1" t="s">
        <v>12</v>
      </c>
      <c r="B13" s="5" t="n">
        <f aca="false">1610612736*B4</f>
        <v>19327352832</v>
      </c>
      <c r="C13" s="8" t="n">
        <f aca="false">B13/$B$18</f>
        <v>0.0552793885437426</v>
      </c>
      <c r="D13" s="5" t="n">
        <f aca="false">2147483648*D4</f>
        <v>51539607552</v>
      </c>
      <c r="E13" s="8" t="n">
        <f aca="false">D13/$D$18</f>
        <v>0.0498878457244354</v>
      </c>
      <c r="F13" s="5" t="n">
        <f aca="false">2684354560*F4</f>
        <v>96636764160</v>
      </c>
      <c r="G13" s="8" t="n">
        <f aca="false">F13/$F$18</f>
        <v>0.0428021572918904</v>
      </c>
      <c r="H13" s="5" t="n">
        <f aca="false">3355443200*H4</f>
        <v>161061273600</v>
      </c>
      <c r="I13" s="9" t="n">
        <f aca="false">H13/$H$18</f>
        <v>0.0356856336138456</v>
      </c>
    </row>
    <row r="14" customFormat="false" ht="12.8" hidden="false" customHeight="false" outlineLevel="0" collapsed="false">
      <c r="A14" s="4" t="s">
        <v>13</v>
      </c>
      <c r="B14" s="5" t="n">
        <f aca="false">1610612736*B4</f>
        <v>19327352832</v>
      </c>
      <c r="C14" s="8" t="n">
        <f aca="false">B14/$B$18</f>
        <v>0.0552793885437426</v>
      </c>
      <c r="D14" s="5" t="n">
        <f aca="false">2147483648*D4</f>
        <v>51539607552</v>
      </c>
      <c r="E14" s="8" t="n">
        <f aca="false">D14/$D$18</f>
        <v>0.0498878457244354</v>
      </c>
      <c r="F14" s="5" t="n">
        <f aca="false">2684354560*F4</f>
        <v>96636764160</v>
      </c>
      <c r="G14" s="8" t="n">
        <f aca="false">F14/$F$18</f>
        <v>0.0428021572918904</v>
      </c>
      <c r="H14" s="5" t="n">
        <f aca="false">3355443200*H4</f>
        <v>161061273600</v>
      </c>
      <c r="I14" s="9" t="n">
        <f aca="false">H14/$H$18</f>
        <v>0.0356856336138456</v>
      </c>
    </row>
    <row r="15" customFormat="false" ht="12.8" hidden="false" customHeight="false" outlineLevel="0" collapsed="false">
      <c r="A15" s="1" t="s">
        <v>14</v>
      </c>
      <c r="B15" s="5" t="n">
        <f aca="false">14495514624*B4</f>
        <v>173946175488</v>
      </c>
      <c r="C15" s="8" t="n">
        <f aca="false">B15/$B$18</f>
        <v>0.497514496893683</v>
      </c>
      <c r="D15" s="5" t="n">
        <f aca="false">25769803776*D4</f>
        <v>618475290624</v>
      </c>
      <c r="E15" s="8" t="n">
        <f aca="false">D15/$D$18</f>
        <v>0.598654148693225</v>
      </c>
      <c r="F15" s="5" t="n">
        <f aca="false">40265318400*F4</f>
        <v>1449551462400</v>
      </c>
      <c r="G15" s="8" t="n">
        <f aca="false">F15/$F$18</f>
        <v>0.642032359378356</v>
      </c>
      <c r="H15" s="5" t="n">
        <f aca="false">62914560000*H4</f>
        <v>3019898880000</v>
      </c>
      <c r="I15" s="9" t="n">
        <f aca="false">H15/$H$18</f>
        <v>0.669105630259605</v>
      </c>
    </row>
    <row r="16" customFormat="false" ht="12.8" hidden="false" customHeight="false" outlineLevel="0" collapsed="false">
      <c r="A16" s="1" t="s">
        <v>15</v>
      </c>
      <c r="B16" s="6" t="n">
        <f aca="false">SUM(B12:B15)</f>
        <v>270582939648</v>
      </c>
      <c r="C16" s="8" t="n">
        <f aca="false">B16/$B$18</f>
        <v>0.773911439612397</v>
      </c>
      <c r="D16" s="6" t="n">
        <f aca="false">SUM(D12:D15)</f>
        <v>927712935936</v>
      </c>
      <c r="E16" s="8" t="n">
        <f aca="false">D16/$D$18</f>
        <v>0.897981223039838</v>
      </c>
      <c r="F16" s="6" t="n">
        <f aca="false">SUM(F12:F15)</f>
        <v>2126008811520</v>
      </c>
      <c r="G16" s="8" t="n">
        <f aca="false">F16/$F$18</f>
        <v>0.941647460421589</v>
      </c>
      <c r="H16" s="6" t="n">
        <f aca="false">SUM(H12:H15)</f>
        <v>4348654387200</v>
      </c>
      <c r="I16" s="9" t="n">
        <f aca="false">H16/$H$18</f>
        <v>0.963512107573831</v>
      </c>
    </row>
    <row r="17" customFormat="false" ht="12.8" hidden="false" customHeight="false" outlineLevel="0" collapsed="false">
      <c r="A17" s="1" t="s">
        <v>19</v>
      </c>
      <c r="B17" s="5" t="n">
        <v>79047426048</v>
      </c>
      <c r="C17" s="8" t="n">
        <f aca="false">B17/$B$18</f>
        <v>0.226088560387604</v>
      </c>
      <c r="D17" s="5" t="n">
        <v>105396568064</v>
      </c>
      <c r="E17" s="8" t="n">
        <f aca="false">D17/$D$18</f>
        <v>0.102018776960162</v>
      </c>
      <c r="F17" s="5" t="n">
        <v>131745710080</v>
      </c>
      <c r="G17" s="8" t="n">
        <f aca="false">F17/$F$18</f>
        <v>0.0583525395784108</v>
      </c>
      <c r="H17" s="5" t="n">
        <v>164682137600</v>
      </c>
      <c r="I17" s="9" t="n">
        <f aca="false">H17/$H$18</f>
        <v>0.0364878924261686</v>
      </c>
    </row>
    <row r="18" customFormat="false" ht="12.8" hidden="false" customHeight="false" outlineLevel="0" collapsed="false">
      <c r="A18" s="1" t="s">
        <v>17</v>
      </c>
      <c r="B18" s="6" t="n">
        <f aca="false">SUM(B16:B17)</f>
        <v>349630365696</v>
      </c>
      <c r="C18" s="8" t="n">
        <f aca="false">B18/$B$18</f>
        <v>1</v>
      </c>
      <c r="D18" s="6" t="n">
        <f aca="false">SUM(D16:D17)</f>
        <v>1033109504000</v>
      </c>
      <c r="E18" s="8" t="n">
        <f aca="false">D18/$D$18</f>
        <v>1</v>
      </c>
      <c r="F18" s="6" t="n">
        <f aca="false">SUM(F16:F17)</f>
        <v>2257754521600</v>
      </c>
      <c r="G18" s="8" t="n">
        <f aca="false">F18/$F$18</f>
        <v>1</v>
      </c>
      <c r="H18" s="6" t="n">
        <f aca="false">SUM(H16:H17)</f>
        <v>4513336524800</v>
      </c>
      <c r="I18" s="9" t="n">
        <f aca="false">H18/$H$18</f>
        <v>1</v>
      </c>
    </row>
    <row r="19" customFormat="false" ht="12.8" hidden="false" customHeight="false" outlineLevel="0" collapsed="false">
      <c r="D19" s="1" t="n">
        <f aca="false">D18/B18</f>
        <v>2.95486206394978</v>
      </c>
      <c r="F19" s="1" t="n">
        <f aca="false">F18/D18</f>
        <v>2.18539710733316</v>
      </c>
      <c r="H19" s="1" t="n">
        <f aca="false">H18/F18</f>
        <v>1.99903775260808</v>
      </c>
    </row>
    <row r="20" customFormat="false" ht="12.8" hidden="false" customHeight="true" outlineLevel="0" collapsed="false">
      <c r="A20" s="1" t="s">
        <v>20</v>
      </c>
    </row>
    <row r="21" customFormat="false" ht="12.8" hidden="false" customHeight="true" outlineLevel="0" collapsed="false">
      <c r="A21" s="1" t="s">
        <v>11</v>
      </c>
      <c r="D21" s="1" t="n">
        <f aca="false">D12/B12</f>
        <v>3.55555555555556</v>
      </c>
      <c r="F21" s="1" t="n">
        <f aca="false">F12/D12</f>
        <v>2.34375</v>
      </c>
      <c r="H21" s="1" t="n">
        <f aca="false">H12/F12</f>
        <v>2.08333333333333</v>
      </c>
    </row>
    <row r="22" customFormat="false" ht="12.8" hidden="false" customHeight="true" outlineLevel="0" collapsed="false">
      <c r="A22" s="1" t="s">
        <v>12</v>
      </c>
      <c r="D22" s="1" t="n">
        <f aca="false">D13/B13</f>
        <v>2.66666666666667</v>
      </c>
      <c r="F22" s="1" t="n">
        <f aca="false">F13/D13</f>
        <v>1.875</v>
      </c>
      <c r="H22" s="1" t="n">
        <f aca="false">H13/F13</f>
        <v>1.66666666666667</v>
      </c>
    </row>
    <row r="23" customFormat="false" ht="12.8" hidden="false" customHeight="true" outlineLevel="0" collapsed="false">
      <c r="A23" s="4" t="s">
        <v>13</v>
      </c>
      <c r="D23" s="1" t="n">
        <f aca="false">D14/B14</f>
        <v>2.66666666666667</v>
      </c>
      <c r="F23" s="1" t="n">
        <f aca="false">F14/D14</f>
        <v>1.875</v>
      </c>
      <c r="H23" s="1" t="n">
        <f aca="false">H14/F14</f>
        <v>1.66666666666667</v>
      </c>
    </row>
    <row r="24" customFormat="false" ht="12.8" hidden="false" customHeight="true" outlineLevel="0" collapsed="false">
      <c r="A24" s="1" t="s">
        <v>14</v>
      </c>
      <c r="D24" s="1" t="n">
        <f aca="false">D15/B15</f>
        <v>3.55555555555556</v>
      </c>
      <c r="F24" s="1" t="n">
        <f aca="false">F15/D15</f>
        <v>2.34375</v>
      </c>
      <c r="H24" s="1" t="n">
        <f aca="false">H15/F15</f>
        <v>2.08333333333333</v>
      </c>
    </row>
    <row r="25" customFormat="false" ht="12.8" hidden="false" customHeight="true" outlineLevel="0" collapsed="false">
      <c r="A25" s="1" t="s">
        <v>15</v>
      </c>
      <c r="D25" s="1" t="n">
        <f aca="false">D16/B16</f>
        <v>3.42857142857143</v>
      </c>
      <c r="F25" s="1" t="n">
        <f aca="false">F16/D16</f>
        <v>2.29166666666667</v>
      </c>
      <c r="H25" s="1" t="n">
        <f aca="false">H16/F16</f>
        <v>2.04545454545455</v>
      </c>
    </row>
    <row r="26" customFormat="false" ht="12.8" hidden="false" customHeight="true" outlineLevel="0" collapsed="false">
      <c r="A26" s="7" t="s">
        <v>21</v>
      </c>
      <c r="D26" s="1" t="n">
        <f aca="false">D17/B17</f>
        <v>1.33333333333333</v>
      </c>
      <c r="F26" s="1" t="n">
        <f aca="false">F17/D17</f>
        <v>1.25</v>
      </c>
      <c r="H26" s="1" t="n">
        <f aca="false">H17/F17</f>
        <v>1.25</v>
      </c>
    </row>
    <row r="27" customFormat="false" ht="12.8" hidden="false" customHeight="true" outlineLevel="0" collapsed="false">
      <c r="A27" s="1" t="s">
        <v>17</v>
      </c>
      <c r="D27" s="1" t="n">
        <f aca="false">D18/B18</f>
        <v>2.95486206394978</v>
      </c>
      <c r="F27" s="1" t="n">
        <f aca="false">F18/D18</f>
        <v>2.18539710733316</v>
      </c>
      <c r="H27" s="1" t="n">
        <f aca="false">H18/F18</f>
        <v>1.99903775260808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47</TotalTime>
  <Application>LibreOffice/25.2.4.3$Linux_X86_64 LibreOffice_project/520$Build-3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2025-07-20T17:34:05Z</dcterms:created>
  <dc:creator/>
  <dc:description/>
  <dc:language>en-US</dc:language>
  <cp:lastModifiedBy/>
  <dcterms:modified xsi:type="dcterms:W3CDTF">2025-07-23T01:17:54Z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